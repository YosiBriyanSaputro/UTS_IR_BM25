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 Python\Retrival_UTS_yosi\Lampiran\"/>
    </mc:Choice>
  </mc:AlternateContent>
  <xr:revisionPtr revIDLastSave="0" documentId="13_ncr:1_{8A8C6B5A-B016-41C1-B726-7C34328FB2D0}" xr6:coauthVersionLast="47" xr6:coauthVersionMax="47" xr10:uidLastSave="{00000000-0000-0000-0000-000000000000}"/>
  <bookViews>
    <workbookView xWindow="-108" yWindow="-108" windowWidth="23256" windowHeight="12456" activeTab="1" xr2:uid="{19A3EF88-E3B8-43DB-A214-E53C8C2B8C46}"/>
  </bookViews>
  <sheets>
    <sheet name="Dataset" sheetId="1" r:id="rId1"/>
    <sheet name="Pengolahan Doku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2" l="1"/>
  <c r="H61" i="2"/>
  <c r="H70" i="2"/>
  <c r="H69" i="2"/>
  <c r="H68" i="2"/>
  <c r="H67" i="2"/>
  <c r="H66" i="2"/>
  <c r="H65" i="2"/>
  <c r="H64" i="2"/>
  <c r="H62" i="2"/>
  <c r="H60" i="2"/>
  <c r="H59" i="2"/>
  <c r="H58" i="2"/>
  <c r="H57" i="2"/>
  <c r="H56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M35" i="2"/>
  <c r="H28" i="2"/>
  <c r="H29" i="2"/>
  <c r="H27" i="2"/>
  <c r="H20" i="2"/>
  <c r="H21" i="2"/>
  <c r="H19" i="2"/>
  <c r="Y10" i="2"/>
  <c r="Y11" i="2"/>
  <c r="Y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</calcChain>
</file>

<file path=xl/sharedStrings.xml><?xml version="1.0" encoding="utf-8"?>
<sst xmlns="http://schemas.openxmlformats.org/spreadsheetml/2006/main" count="184" uniqueCount="73">
  <si>
    <t>ayam crispy pedas</t>
  </si>
  <si>
    <t>Kode</t>
  </si>
  <si>
    <t>Dokumen</t>
  </si>
  <si>
    <t>D1</t>
  </si>
  <si>
    <t>ayam geprek crispy disajikan dengan sambal pedas dan nasi hangat</t>
  </si>
  <si>
    <t>D2</t>
  </si>
  <si>
    <t>chicken katsu crispy menggunakan saus mentai dan sayuran segar</t>
  </si>
  <si>
    <t>D3</t>
  </si>
  <si>
    <t>mie ayam bakso kuah hangat cocok dimakan saat hujan</t>
  </si>
  <si>
    <t>D4</t>
  </si>
  <si>
    <t>nasi goreng ayam pedas dengan telur dan kerupuk renyah</t>
  </si>
  <si>
    <t>D5</t>
  </si>
  <si>
    <t>ayam bakar madu disajikan dengan sambal manis dan lalapan</t>
  </si>
  <si>
    <t>D6</t>
  </si>
  <si>
    <t>seblak pedas berisi ceker ayam bakso dan kerupuk basah</t>
  </si>
  <si>
    <t>D7</t>
  </si>
  <si>
    <t>katsu rice bowl crispy dengan saus teriyaki dan mayones</t>
  </si>
  <si>
    <t>D8</t>
  </si>
  <si>
    <t>ayam goreng tepung crispy memiliki rasa gurih dan renyah</t>
  </si>
  <si>
    <t>D9</t>
  </si>
  <si>
    <t>mie goreng pedas spesial dengan telur sosis dan sayuran</t>
  </si>
  <si>
    <t>D10</t>
  </si>
  <si>
    <t>chicken steak crispy disajikan dengan kentang goreng dan saus lada hitam</t>
  </si>
  <si>
    <t>D11</t>
  </si>
  <si>
    <t>ayam penyet sambal pedas disajikan dengan tahu tempe dan lalapan</t>
  </si>
  <si>
    <t>D12</t>
  </si>
  <si>
    <t>burger ayam crispy dengan keju selada tomat dan saus spesial</t>
  </si>
  <si>
    <t>D13</t>
  </si>
  <si>
    <t>bakso mercon pedas memiliki kuah gurih dan isian cabai</t>
  </si>
  <si>
    <t>D14</t>
  </si>
  <si>
    <t>nasi ayam teriyaki dengan saus manis dan taburan wijen</t>
  </si>
  <si>
    <t>D15</t>
  </si>
  <si>
    <t>jamur crispy pedas cocok sebagai camilan ringan sore hari</t>
  </si>
  <si>
    <t>DOKUMEN</t>
  </si>
  <si>
    <t>Query</t>
  </si>
  <si>
    <t>Term query</t>
  </si>
  <si>
    <t>ayam</t>
  </si>
  <si>
    <t>crispy</t>
  </si>
  <si>
    <t>pedas</t>
  </si>
  <si>
    <t>1.</t>
  </si>
  <si>
    <t>2.</t>
  </si>
  <si>
    <t>3.</t>
  </si>
  <si>
    <t>Panjang Dokumen</t>
  </si>
  <si>
    <t>Hitung Panjang Dokumen</t>
  </si>
  <si>
    <t>4.</t>
  </si>
  <si>
    <t>Average Document Length</t>
  </si>
  <si>
    <t>5.</t>
  </si>
  <si>
    <t>Term</t>
  </si>
  <si>
    <t>6.</t>
  </si>
  <si>
    <t>DF</t>
  </si>
  <si>
    <t>Perhitungan TF</t>
  </si>
  <si>
    <t>7.</t>
  </si>
  <si>
    <t>Perhitungan DF</t>
  </si>
  <si>
    <t>IDF</t>
  </si>
  <si>
    <t>Jumlah Dokumen</t>
  </si>
  <si>
    <t>N</t>
  </si>
  <si>
    <t>8.</t>
  </si>
  <si>
    <t>Hitung IDF</t>
  </si>
  <si>
    <t>Sel</t>
  </si>
  <si>
    <t>Nilai</t>
  </si>
  <si>
    <t>k1</t>
  </si>
  <si>
    <t>b</t>
  </si>
  <si>
    <t>Parameter BM25</t>
  </si>
  <si>
    <t>Ayam</t>
  </si>
  <si>
    <t>Crispy</t>
  </si>
  <si>
    <t>Pedas</t>
  </si>
  <si>
    <t>Hitung BM25</t>
  </si>
  <si>
    <t>9.</t>
  </si>
  <si>
    <t>Jumlahkan Semua Term</t>
  </si>
  <si>
    <t>Total Term</t>
  </si>
  <si>
    <t>10.</t>
  </si>
  <si>
    <t>Ranking</t>
  </si>
  <si>
    <t>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</si>
</sst>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B43C-B073-41E9-8FB6-0AE6F9E3FFB4}">
  <dimension ref="A2:G18"/>
  <sheetViews>
    <sheetView workbookViewId="0">
      <selection activeCell="H21" sqref="H21"/>
    </sheetView>
  </sheetViews>
  <sheetFormatPr defaultRowHeight="14.4" x14ac:dyDescent="0.3"/>
  <cols>
    <col min="3" max="3" width="66.21875" customWidth="1"/>
    <col min="7" max="7" width="16.44140625" customWidth="1"/>
  </cols>
  <sheetData>
    <row r="2" spans="1:7" ht="17.399999999999999" x14ac:dyDescent="0.45">
      <c r="A2" s="6" t="s">
        <v>39</v>
      </c>
      <c r="B2" s="17" t="s">
        <v>33</v>
      </c>
      <c r="C2" s="17"/>
      <c r="F2" s="6" t="s">
        <v>40</v>
      </c>
      <c r="G2" s="4" t="s">
        <v>34</v>
      </c>
    </row>
    <row r="3" spans="1:7" ht="17.399999999999999" x14ac:dyDescent="0.45">
      <c r="B3" s="1" t="s">
        <v>1</v>
      </c>
      <c r="C3" s="1" t="s">
        <v>2</v>
      </c>
      <c r="F3" s="4"/>
      <c r="G3" t="s">
        <v>0</v>
      </c>
    </row>
    <row r="4" spans="1:7" ht="17.399999999999999" x14ac:dyDescent="0.45">
      <c r="B4" s="3" t="s">
        <v>3</v>
      </c>
      <c r="C4" s="2" t="s">
        <v>4</v>
      </c>
      <c r="F4" s="4"/>
    </row>
    <row r="5" spans="1:7" ht="17.399999999999999" x14ac:dyDescent="0.45">
      <c r="B5" s="3" t="s">
        <v>5</v>
      </c>
      <c r="C5" s="2" t="s">
        <v>6</v>
      </c>
      <c r="F5" s="6" t="s">
        <v>41</v>
      </c>
      <c r="G5" s="4" t="s">
        <v>35</v>
      </c>
    </row>
    <row r="6" spans="1:7" x14ac:dyDescent="0.3">
      <c r="B6" s="3" t="s">
        <v>7</v>
      </c>
      <c r="C6" s="2" t="s">
        <v>8</v>
      </c>
      <c r="G6" s="5" t="s">
        <v>36</v>
      </c>
    </row>
    <row r="7" spans="1:7" x14ac:dyDescent="0.3">
      <c r="B7" s="3" t="s">
        <v>9</v>
      </c>
      <c r="C7" s="2" t="s">
        <v>10</v>
      </c>
      <c r="G7" s="5" t="s">
        <v>37</v>
      </c>
    </row>
    <row r="8" spans="1:7" x14ac:dyDescent="0.3">
      <c r="B8" s="3" t="s">
        <v>11</v>
      </c>
      <c r="C8" s="2" t="s">
        <v>12</v>
      </c>
      <c r="G8" s="5" t="s">
        <v>38</v>
      </c>
    </row>
    <row r="9" spans="1:7" x14ac:dyDescent="0.3">
      <c r="B9" s="3" t="s">
        <v>13</v>
      </c>
      <c r="C9" s="2" t="s">
        <v>14</v>
      </c>
    </row>
    <row r="10" spans="1:7" x14ac:dyDescent="0.3">
      <c r="B10" s="3" t="s">
        <v>15</v>
      </c>
      <c r="C10" s="2" t="s">
        <v>16</v>
      </c>
    </row>
    <row r="11" spans="1:7" x14ac:dyDescent="0.3">
      <c r="B11" s="3" t="s">
        <v>17</v>
      </c>
      <c r="C11" s="2" t="s">
        <v>18</v>
      </c>
    </row>
    <row r="12" spans="1:7" x14ac:dyDescent="0.3">
      <c r="B12" s="3" t="s">
        <v>19</v>
      </c>
      <c r="C12" s="2" t="s">
        <v>20</v>
      </c>
    </row>
    <row r="13" spans="1:7" x14ac:dyDescent="0.3">
      <c r="B13" s="3" t="s">
        <v>21</v>
      </c>
      <c r="C13" s="2" t="s">
        <v>22</v>
      </c>
    </row>
    <row r="14" spans="1:7" x14ac:dyDescent="0.3">
      <c r="B14" s="3" t="s">
        <v>23</v>
      </c>
      <c r="C14" s="2" t="s">
        <v>24</v>
      </c>
    </row>
    <row r="15" spans="1:7" x14ac:dyDescent="0.3">
      <c r="B15" s="3" t="s">
        <v>25</v>
      </c>
      <c r="C15" s="2" t="s">
        <v>26</v>
      </c>
    </row>
    <row r="16" spans="1:7" x14ac:dyDescent="0.3">
      <c r="B16" s="3" t="s">
        <v>27</v>
      </c>
      <c r="C16" s="2" t="s">
        <v>28</v>
      </c>
    </row>
    <row r="17" spans="2:3" x14ac:dyDescent="0.3">
      <c r="B17" s="3" t="s">
        <v>29</v>
      </c>
      <c r="C17" s="2" t="s">
        <v>30</v>
      </c>
    </row>
    <row r="18" spans="2:3" x14ac:dyDescent="0.3">
      <c r="B18" s="3" t="s">
        <v>31</v>
      </c>
      <c r="C18" s="2" t="s">
        <v>32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59E7-2E1C-4029-801B-9519BE307E9A}">
  <dimension ref="A4:Y70"/>
  <sheetViews>
    <sheetView tabSelected="1" topLeftCell="A42" zoomScale="63" workbookViewId="0">
      <selection activeCell="K62" sqref="K62"/>
    </sheetView>
  </sheetViews>
  <sheetFormatPr defaultRowHeight="14.4" x14ac:dyDescent="0.3"/>
  <cols>
    <col min="3" max="3" width="61.88671875" customWidth="1"/>
    <col min="4" max="4" width="25.6640625" customWidth="1"/>
    <col min="7" max="7" width="30.21875" customWidth="1"/>
    <col min="8" max="8" width="10.5546875" customWidth="1"/>
    <col min="9" max="9" width="10.109375" customWidth="1"/>
    <col min="13" max="13" width="9.88671875" customWidth="1"/>
    <col min="25" max="25" width="22.88671875" customWidth="1"/>
  </cols>
  <sheetData>
    <row r="4" spans="1:25" ht="17.399999999999999" x14ac:dyDescent="0.45">
      <c r="A4" s="6" t="s">
        <v>44</v>
      </c>
      <c r="B4" s="17" t="s">
        <v>43</v>
      </c>
      <c r="C4" s="17"/>
      <c r="D4" s="17"/>
      <c r="F4" s="6" t="s">
        <v>46</v>
      </c>
      <c r="G4" s="4" t="s">
        <v>45</v>
      </c>
    </row>
    <row r="5" spans="1:25" x14ac:dyDescent="0.3">
      <c r="B5" s="1" t="s">
        <v>1</v>
      </c>
      <c r="C5" s="1" t="s">
        <v>2</v>
      </c>
      <c r="D5" s="8" t="s">
        <v>42</v>
      </c>
      <c r="G5" s="5">
        <f>AVERAGE(D6:D20)</f>
        <v>9.3333333333333339</v>
      </c>
    </row>
    <row r="6" spans="1:25" x14ac:dyDescent="0.3">
      <c r="B6" s="3" t="s">
        <v>3</v>
      </c>
      <c r="C6" s="2" t="s">
        <v>4</v>
      </c>
      <c r="D6" s="7">
        <f>LEN(C6)-LEN(SUBSTITUTE(C6," ",""))+1</f>
        <v>10</v>
      </c>
    </row>
    <row r="7" spans="1:25" x14ac:dyDescent="0.3">
      <c r="B7" s="3" t="s">
        <v>5</v>
      </c>
      <c r="C7" s="2" t="s">
        <v>6</v>
      </c>
      <c r="D7" s="7">
        <f t="shared" ref="D7:D20" si="0">LEN(C7)-LEN(SUBSTITUTE(C7," ",""))+1</f>
        <v>9</v>
      </c>
    </row>
    <row r="8" spans="1:25" ht="17.399999999999999" x14ac:dyDescent="0.45">
      <c r="B8" s="3" t="s">
        <v>7</v>
      </c>
      <c r="C8" s="2" t="s">
        <v>8</v>
      </c>
      <c r="D8" s="7">
        <f t="shared" si="0"/>
        <v>9</v>
      </c>
      <c r="F8" s="6" t="s">
        <v>48</v>
      </c>
      <c r="G8" s="4" t="s">
        <v>50</v>
      </c>
      <c r="X8" s="6" t="s">
        <v>51</v>
      </c>
      <c r="Y8" s="4" t="s">
        <v>52</v>
      </c>
    </row>
    <row r="9" spans="1:25" x14ac:dyDescent="0.3">
      <c r="B9" s="3" t="s">
        <v>9</v>
      </c>
      <c r="C9" s="2" t="s">
        <v>10</v>
      </c>
      <c r="D9" s="7">
        <f t="shared" si="0"/>
        <v>9</v>
      </c>
      <c r="G9" s="9" t="s">
        <v>47</v>
      </c>
      <c r="H9" s="9" t="s">
        <v>3</v>
      </c>
      <c r="I9" s="9" t="s">
        <v>5</v>
      </c>
      <c r="J9" s="9" t="s">
        <v>7</v>
      </c>
      <c r="K9" s="9" t="s">
        <v>9</v>
      </c>
      <c r="L9" s="9" t="s">
        <v>11</v>
      </c>
      <c r="M9" s="9" t="s">
        <v>13</v>
      </c>
      <c r="N9" s="9" t="s">
        <v>15</v>
      </c>
      <c r="O9" s="9" t="s">
        <v>17</v>
      </c>
      <c r="P9" s="9" t="s">
        <v>19</v>
      </c>
      <c r="Q9" s="9" t="s">
        <v>21</v>
      </c>
      <c r="R9" s="9" t="s">
        <v>23</v>
      </c>
      <c r="S9" s="9" t="s">
        <v>25</v>
      </c>
      <c r="T9" s="9" t="s">
        <v>27</v>
      </c>
      <c r="U9" s="9" t="s">
        <v>29</v>
      </c>
      <c r="V9" s="9" t="s">
        <v>31</v>
      </c>
      <c r="Y9" s="9" t="s">
        <v>49</v>
      </c>
    </row>
    <row r="10" spans="1:25" x14ac:dyDescent="0.3">
      <c r="B10" s="3" t="s">
        <v>11</v>
      </c>
      <c r="C10" s="2" t="s">
        <v>12</v>
      </c>
      <c r="D10" s="7">
        <f t="shared" si="0"/>
        <v>9</v>
      </c>
      <c r="G10" s="10" t="s">
        <v>36</v>
      </c>
      <c r="H10" s="11">
        <f>IF(ISNUMBER(SEARCH($G10,C$6)),1,0)</f>
        <v>1</v>
      </c>
      <c r="I10" s="11">
        <f>IF(ISNUMBER(SEARCH($G10,C$7)),1,0)</f>
        <v>0</v>
      </c>
      <c r="J10" s="11">
        <f>IF(ISNUMBER(SEARCH($G10,C$8)),1,0)</f>
        <v>1</v>
      </c>
      <c r="K10" s="11">
        <f>IF(ISNUMBER(SEARCH($G10,C$9)),1,0)</f>
        <v>1</v>
      </c>
      <c r="L10" s="11">
        <f>IF(ISNUMBER(SEARCH($G10,C$10)),1,0)</f>
        <v>1</v>
      </c>
      <c r="M10" s="11">
        <f>IF(ISNUMBER(SEARCH($G10,C$11)),1,0)</f>
        <v>1</v>
      </c>
      <c r="N10" s="11">
        <f>IF(ISNUMBER(SEARCH($G10,C$12)),1,0)</f>
        <v>0</v>
      </c>
      <c r="O10" s="11">
        <f>IF(ISNUMBER(SEARCH($G10,C$13)),1,0)</f>
        <v>1</v>
      </c>
      <c r="P10" s="11">
        <f>IF(ISNUMBER(SEARCH($G10,C$14)),1,0)</f>
        <v>0</v>
      </c>
      <c r="Q10" s="11">
        <f>IF(ISNUMBER(SEARCH($G10,C$15)),1,0)</f>
        <v>0</v>
      </c>
      <c r="R10" s="5">
        <f>IF(ISNUMBER(SEARCH($G10,C$16)),1,0)</f>
        <v>1</v>
      </c>
      <c r="S10" s="5">
        <f>IF(ISNUMBER(SEARCH($G10,C$17)),1,0)</f>
        <v>1</v>
      </c>
      <c r="T10" s="5">
        <f>IF(ISNUMBER(SEARCH($G10,C$18)),1,0)</f>
        <v>0</v>
      </c>
      <c r="U10" s="5">
        <f>IF(ISNUMBER(SEARCH($G10,C$19)),1,0)</f>
        <v>1</v>
      </c>
      <c r="V10" s="5">
        <f>IF(ISNUMBER(SEARCH($G10,C$20)),1,0)</f>
        <v>0</v>
      </c>
      <c r="Y10" s="5">
        <f>COUNTIF(H10:V10,"&gt;0")</f>
        <v>9</v>
      </c>
    </row>
    <row r="11" spans="1:25" x14ac:dyDescent="0.3">
      <c r="B11" s="3" t="s">
        <v>13</v>
      </c>
      <c r="C11" s="2" t="s">
        <v>14</v>
      </c>
      <c r="D11" s="7">
        <f t="shared" si="0"/>
        <v>9</v>
      </c>
      <c r="G11" s="10" t="s">
        <v>37</v>
      </c>
      <c r="H11" s="11">
        <f>IF(ISNUMBER(SEARCH($G11,C$6)),1,0)</f>
        <v>1</v>
      </c>
      <c r="I11" s="11">
        <f>IF(ISNUMBER(SEARCH($G11,C$7)),1,0)</f>
        <v>1</v>
      </c>
      <c r="J11" s="11">
        <f>IF(ISNUMBER(SEARCH($G11,C$8)),1,0)</f>
        <v>0</v>
      </c>
      <c r="K11" s="11">
        <f>IF(ISNUMBER(SEARCH($G11,C$9)),1,0)</f>
        <v>0</v>
      </c>
      <c r="L11" s="11">
        <f>IF(ISNUMBER(SEARCH($G11,C$10)),1,0)</f>
        <v>0</v>
      </c>
      <c r="M11" s="11">
        <f>IF(ISNUMBER(SEARCH($G11,C$11)),1,0)</f>
        <v>0</v>
      </c>
      <c r="N11" s="11">
        <f>IF(ISNUMBER(SEARCH($G11,C$12)),1,0)</f>
        <v>1</v>
      </c>
      <c r="O11" s="11">
        <f>IF(ISNUMBER(SEARCH($G11,C$13)),1,0)</f>
        <v>1</v>
      </c>
      <c r="P11" s="11">
        <f>IF(ISNUMBER(SEARCH($G11,C$14)),1,0)</f>
        <v>0</v>
      </c>
      <c r="Q11" s="11">
        <f>IF(ISNUMBER(SEARCH($G11,C$15)),1,0)</f>
        <v>1</v>
      </c>
      <c r="R11" s="5">
        <f>IF(ISNUMBER(SEARCH($G11,C$16)),1,0)</f>
        <v>0</v>
      </c>
      <c r="S11" s="5">
        <f>IF(ISNUMBER(SEARCH($G11,C$17)),1,0)</f>
        <v>1</v>
      </c>
      <c r="T11" s="5">
        <f>IF(ISNUMBER(SEARCH($G11,C$18)),1,0)</f>
        <v>0</v>
      </c>
      <c r="U11" s="5">
        <f>IF(ISNUMBER(SEARCH($G11,C$19)),1,0)</f>
        <v>0</v>
      </c>
      <c r="V11" s="5">
        <f>IF(ISNUMBER(SEARCH($G11,C$20)),1,0)</f>
        <v>1</v>
      </c>
      <c r="Y11" s="5">
        <f t="shared" ref="Y11:Y12" si="1">COUNTIF(H11:V11,"&gt;0")</f>
        <v>7</v>
      </c>
    </row>
    <row r="12" spans="1:25" x14ac:dyDescent="0.3">
      <c r="B12" s="3" t="s">
        <v>15</v>
      </c>
      <c r="C12" s="2" t="s">
        <v>16</v>
      </c>
      <c r="D12" s="7">
        <f t="shared" si="0"/>
        <v>9</v>
      </c>
      <c r="G12" s="10" t="s">
        <v>38</v>
      </c>
      <c r="H12" s="11">
        <f>IF(ISNUMBER(SEARCH($G12,C$6)),1,0)</f>
        <v>1</v>
      </c>
      <c r="I12" s="11">
        <f>IF(ISNUMBER(SEARCH($G12,C$7)),1,0)</f>
        <v>0</v>
      </c>
      <c r="J12" s="11">
        <f>IF(ISNUMBER(SEARCH($G12,C$8)),1,0)</f>
        <v>0</v>
      </c>
      <c r="K12" s="11">
        <f>IF(ISNUMBER(SEARCH($G12,C$9)),1,0)</f>
        <v>1</v>
      </c>
      <c r="L12" s="11">
        <f>IF(ISNUMBER(SEARCH($G12,C$10)),1,0)</f>
        <v>0</v>
      </c>
      <c r="M12" s="11">
        <f>IF(ISNUMBER(SEARCH($G12,C$11)),1,0)</f>
        <v>1</v>
      </c>
      <c r="N12" s="11">
        <f>IF(ISNUMBER(SEARCH($G12,C$12)),1,0)</f>
        <v>0</v>
      </c>
      <c r="O12" s="11">
        <f>IF(ISNUMBER(SEARCH($G12,C$13)),1,0)</f>
        <v>0</v>
      </c>
      <c r="P12" s="11">
        <f>IF(ISNUMBER(SEARCH($G12,C$14)),1,0)</f>
        <v>1</v>
      </c>
      <c r="Q12" s="11">
        <f>IF(ISNUMBER(SEARCH($G12,C$15)),1,0)</f>
        <v>0</v>
      </c>
      <c r="R12" s="5">
        <f>IF(ISNUMBER(SEARCH($G12,C$16)),1,0)</f>
        <v>1</v>
      </c>
      <c r="S12" s="5">
        <f>IF(ISNUMBER(SEARCH($G12,C$17)),1,0)</f>
        <v>0</v>
      </c>
      <c r="T12" s="5">
        <f>IF(ISNUMBER(SEARCH($G12,C$18)),1,0)</f>
        <v>1</v>
      </c>
      <c r="U12" s="5">
        <f>IF(ISNUMBER(SEARCH($G12,C$19)),1,0)</f>
        <v>0</v>
      </c>
      <c r="V12" s="5">
        <f>IF(ISNUMBER(SEARCH($G12,C$20)),1,0)</f>
        <v>1</v>
      </c>
      <c r="Y12" s="5">
        <f t="shared" si="1"/>
        <v>7</v>
      </c>
    </row>
    <row r="13" spans="1:25" x14ac:dyDescent="0.3">
      <c r="B13" s="3" t="s">
        <v>17</v>
      </c>
      <c r="C13" s="2" t="s">
        <v>18</v>
      </c>
      <c r="D13" s="7">
        <f t="shared" si="0"/>
        <v>9</v>
      </c>
    </row>
    <row r="14" spans="1:25" x14ac:dyDescent="0.3">
      <c r="B14" s="3" t="s">
        <v>19</v>
      </c>
      <c r="C14" s="2" t="s">
        <v>20</v>
      </c>
      <c r="D14" s="7">
        <f t="shared" si="0"/>
        <v>9</v>
      </c>
    </row>
    <row r="15" spans="1:25" x14ac:dyDescent="0.3">
      <c r="B15" s="3" t="s">
        <v>21</v>
      </c>
      <c r="C15" s="2" t="s">
        <v>22</v>
      </c>
      <c r="D15" s="7">
        <f t="shared" si="0"/>
        <v>11</v>
      </c>
    </row>
    <row r="16" spans="1:25" x14ac:dyDescent="0.3">
      <c r="B16" s="3" t="s">
        <v>23</v>
      </c>
      <c r="C16" s="2" t="s">
        <v>24</v>
      </c>
      <c r="D16" s="7">
        <f t="shared" si="0"/>
        <v>10</v>
      </c>
    </row>
    <row r="17" spans="2:8" ht="17.399999999999999" x14ac:dyDescent="0.45">
      <c r="B17" s="3" t="s">
        <v>25</v>
      </c>
      <c r="C17" s="2" t="s">
        <v>26</v>
      </c>
      <c r="D17" s="7">
        <f t="shared" si="0"/>
        <v>10</v>
      </c>
      <c r="F17" s="6" t="s">
        <v>51</v>
      </c>
      <c r="G17" s="4" t="s">
        <v>52</v>
      </c>
      <c r="H17" s="4"/>
    </row>
    <row r="18" spans="2:8" x14ac:dyDescent="0.3">
      <c r="B18" s="3" t="s">
        <v>27</v>
      </c>
      <c r="C18" s="2" t="s">
        <v>28</v>
      </c>
      <c r="D18" s="7">
        <f t="shared" si="0"/>
        <v>9</v>
      </c>
      <c r="G18" s="9" t="s">
        <v>47</v>
      </c>
      <c r="H18" s="9" t="s">
        <v>49</v>
      </c>
    </row>
    <row r="19" spans="2:8" x14ac:dyDescent="0.3">
      <c r="B19" s="3" t="s">
        <v>29</v>
      </c>
      <c r="C19" s="2" t="s">
        <v>30</v>
      </c>
      <c r="D19" s="7">
        <f t="shared" si="0"/>
        <v>9</v>
      </c>
      <c r="G19" s="10" t="s">
        <v>36</v>
      </c>
      <c r="H19" s="5">
        <f>COUNTIF(H10:V10,"&gt;0")</f>
        <v>9</v>
      </c>
    </row>
    <row r="20" spans="2:8" x14ac:dyDescent="0.3">
      <c r="B20" s="3" t="s">
        <v>31</v>
      </c>
      <c r="C20" s="2" t="s">
        <v>32</v>
      </c>
      <c r="D20" s="7">
        <f t="shared" si="0"/>
        <v>9</v>
      </c>
      <c r="G20" s="10" t="s">
        <v>37</v>
      </c>
      <c r="H20" s="5">
        <f t="shared" ref="H20:H21" si="2">COUNTIF(H11:V11,"&gt;0")</f>
        <v>7</v>
      </c>
    </row>
    <row r="21" spans="2:8" x14ac:dyDescent="0.3">
      <c r="G21" s="10" t="s">
        <v>38</v>
      </c>
      <c r="H21" s="5">
        <f t="shared" si="2"/>
        <v>7</v>
      </c>
    </row>
    <row r="24" spans="2:8" ht="17.399999999999999" x14ac:dyDescent="0.45">
      <c r="B24" s="4" t="s">
        <v>54</v>
      </c>
    </row>
    <row r="25" spans="2:8" ht="17.399999999999999" x14ac:dyDescent="0.45">
      <c r="B25" s="12" t="s">
        <v>55</v>
      </c>
      <c r="C25" s="12">
        <v>15</v>
      </c>
      <c r="F25" s="6" t="s">
        <v>56</v>
      </c>
      <c r="G25" s="4" t="s">
        <v>57</v>
      </c>
    </row>
    <row r="26" spans="2:8" x14ac:dyDescent="0.3">
      <c r="G26" s="9" t="s">
        <v>47</v>
      </c>
      <c r="H26" s="9" t="s">
        <v>53</v>
      </c>
    </row>
    <row r="27" spans="2:8" x14ac:dyDescent="0.3">
      <c r="G27" s="10" t="s">
        <v>36</v>
      </c>
      <c r="H27" s="5">
        <f>LN((($C$25-H19+0.5)/(H19+0.5))+1)</f>
        <v>0.52129692363328606</v>
      </c>
    </row>
    <row r="28" spans="2:8" ht="17.399999999999999" x14ac:dyDescent="0.45">
      <c r="B28" s="14" t="s">
        <v>62</v>
      </c>
      <c r="G28" s="10" t="s">
        <v>37</v>
      </c>
      <c r="H28" s="5">
        <f t="shared" ref="H28:H29" si="3">LN((($C$25-H20+0.5)/(H20+0.5))+1)</f>
        <v>0.75768570169751648</v>
      </c>
    </row>
    <row r="29" spans="2:8" x14ac:dyDescent="0.3">
      <c r="B29" s="9" t="s">
        <v>58</v>
      </c>
      <c r="C29" s="9" t="s">
        <v>59</v>
      </c>
      <c r="G29" s="10" t="s">
        <v>38</v>
      </c>
      <c r="H29" s="5">
        <f t="shared" si="3"/>
        <v>0.75768570169751648</v>
      </c>
    </row>
    <row r="30" spans="2:8" x14ac:dyDescent="0.3">
      <c r="B30" s="13" t="s">
        <v>60</v>
      </c>
      <c r="C30" s="13">
        <v>1.5</v>
      </c>
    </row>
    <row r="31" spans="2:8" x14ac:dyDescent="0.3">
      <c r="B31" s="13" t="s">
        <v>61</v>
      </c>
      <c r="C31" s="13">
        <v>0.75</v>
      </c>
    </row>
    <row r="33" spans="6:13" ht="17.399999999999999" x14ac:dyDescent="0.45">
      <c r="F33" s="16" t="s">
        <v>67</v>
      </c>
      <c r="G33" s="14" t="s">
        <v>66</v>
      </c>
      <c r="K33" s="6" t="s">
        <v>70</v>
      </c>
      <c r="L33" s="4" t="s">
        <v>68</v>
      </c>
    </row>
    <row r="34" spans="6:13" x14ac:dyDescent="0.3">
      <c r="G34" s="1" t="s">
        <v>1</v>
      </c>
      <c r="H34" s="15" t="s">
        <v>63</v>
      </c>
      <c r="I34" s="15" t="s">
        <v>64</v>
      </c>
      <c r="J34" s="15" t="s">
        <v>65</v>
      </c>
      <c r="L34" s="1" t="s">
        <v>1</v>
      </c>
      <c r="M34" s="15" t="s">
        <v>69</v>
      </c>
    </row>
    <row r="35" spans="6:13" x14ac:dyDescent="0.3">
      <c r="G35" s="3" t="s">
        <v>3</v>
      </c>
      <c r="H35" s="5">
        <f>$H$27*((H10*($C$30+1))/(H10+$C$30*(1-$C$31+$C$31*(D6/$G$5))))</f>
        <v>0.50506276338173051</v>
      </c>
      <c r="I35" s="5">
        <f>$H$28*((H11*($C$30+1))/(H11+$C$30*(1-$C$31+$C$31*(D6/$G$5))))</f>
        <v>0.73408995320174608</v>
      </c>
      <c r="J35" s="5">
        <f>$H$29*((H12*($C$30+1))/(H12+$C$30*(1-$C$31+$C$31*(D6/$G$5))))</f>
        <v>0.73408995320174608</v>
      </c>
      <c r="L35" s="3" t="s">
        <v>3</v>
      </c>
      <c r="M35" s="5">
        <f>SUM(H35:J35)</f>
        <v>1.9732426697852228</v>
      </c>
    </row>
    <row r="36" spans="6:13" x14ac:dyDescent="0.3">
      <c r="G36" s="3" t="s">
        <v>5</v>
      </c>
      <c r="H36" s="5">
        <f>$H$27*((I10*($C$30+1))/(I10+$C$30*(1-$C$31+$C$31*(D7/$G$5))))</f>
        <v>0</v>
      </c>
      <c r="I36" s="5">
        <f>$H$28*((I11*($C$30+1))/(I11+$C$30*(1-$C$31+$C$31*(D7/$G$5))))</f>
        <v>0.77006169319529805</v>
      </c>
      <c r="J36" s="5">
        <f>$H$29*((I12*($C$30+1))/(I12+$C$30*(1-$C$31+$C$31*(D7/$G$5))))</f>
        <v>0</v>
      </c>
      <c r="L36" s="3" t="s">
        <v>5</v>
      </c>
      <c r="M36" s="5">
        <f t="shared" ref="M36:M49" si="4">SUM(H36:J36)</f>
        <v>0.77006169319529805</v>
      </c>
    </row>
    <row r="37" spans="6:13" x14ac:dyDescent="0.3">
      <c r="G37" s="3" t="s">
        <v>7</v>
      </c>
      <c r="H37" s="5">
        <f>$H$27*((J10*($C$30+1))/(J10+$C$30*(1-$C$31+$C$31*(D8/$G$5))))</f>
        <v>0.52981175541676984</v>
      </c>
      <c r="I37" s="5">
        <f>$H$28*((J11*($C$30+1))/(J11+$C$30*(1-$C$31+$C$31*(D8/$G$5))))</f>
        <v>0</v>
      </c>
      <c r="J37" s="5">
        <f>$H$29*((J12*($C$30+1))/(J12+$C$30*(1-$C$31+$C$31*(D8/$G$5))))</f>
        <v>0</v>
      </c>
      <c r="L37" s="3" t="s">
        <v>7</v>
      </c>
      <c r="M37" s="5">
        <f t="shared" si="4"/>
        <v>0.52981175541676984</v>
      </c>
    </row>
    <row r="38" spans="6:13" x14ac:dyDescent="0.3">
      <c r="G38" s="3" t="s">
        <v>9</v>
      </c>
      <c r="H38" s="5">
        <f>$H$27*((K10*($C$30+1))/(K10+$C$30*(1-$C$31+$C$31*(D9/$G$5))))</f>
        <v>0.52981175541676984</v>
      </c>
      <c r="I38" s="5">
        <f>$H$28*((K11*($C$30+1))/(K11+$C$30*(1-$C$31+$C$31*(D9/$G$5))))</f>
        <v>0</v>
      </c>
      <c r="J38" s="5">
        <f>$H$29*((K12*($C$30+1))/(K12+$C$30*(1-$C$31+$C$31*(D9/$G$5))))</f>
        <v>0.77006169319529805</v>
      </c>
      <c r="L38" s="3" t="s">
        <v>9</v>
      </c>
      <c r="M38" s="5">
        <f t="shared" si="4"/>
        <v>1.2998734486120678</v>
      </c>
    </row>
    <row r="39" spans="6:13" x14ac:dyDescent="0.3">
      <c r="G39" s="3" t="s">
        <v>11</v>
      </c>
      <c r="H39" s="5">
        <f>$H$27*((L10*($C$30+1))/(L10+$C$30*(1-$C$31+$C$31*(D10/$G$5))))</f>
        <v>0.52981175541676984</v>
      </c>
      <c r="I39" s="5">
        <f>$H$28*((L11*($C$30+1))/(L11+$C$30*(1-$C$31+$C$31*(D10/$G$5))))</f>
        <v>0</v>
      </c>
      <c r="J39" s="5">
        <f>$H$29*((L12*($C$30+1))/(L12+$C$30*(1-$C$31+$C$31*(D10/$G$5))))</f>
        <v>0</v>
      </c>
      <c r="L39" s="3" t="s">
        <v>11</v>
      </c>
      <c r="M39" s="5">
        <f t="shared" si="4"/>
        <v>0.52981175541676984</v>
      </c>
    </row>
    <row r="40" spans="6:13" x14ac:dyDescent="0.3">
      <c r="G40" s="3" t="s">
        <v>13</v>
      </c>
      <c r="H40" s="5">
        <f>$H$27*((M10*($C$30+1))/(M10+$C$30*(1-$C$31+$C$31*(D11/$G$5))))</f>
        <v>0.52981175541676984</v>
      </c>
      <c r="I40" s="5">
        <f>$H$28*((M11*($C$30+1))/(M11+$C$30*(1-$C$31+$C$31*(D11/$G$5))))</f>
        <v>0</v>
      </c>
      <c r="J40" s="5">
        <f>$H$29*((M12*($C$30+1))/(M12+$C$30*(1-$C$31+$C$31*(D11/$G$5))))</f>
        <v>0.77006169319529805</v>
      </c>
      <c r="L40" s="3" t="s">
        <v>13</v>
      </c>
      <c r="M40" s="5">
        <f t="shared" si="4"/>
        <v>1.2998734486120678</v>
      </c>
    </row>
    <row r="41" spans="6:13" x14ac:dyDescent="0.3">
      <c r="G41" s="3" t="s">
        <v>15</v>
      </c>
      <c r="H41" s="5">
        <f>$H$27*((N10*($C$30+1))/(N10+$C$30*(1-$C$31+$C$31*(D12/$G$5))))</f>
        <v>0</v>
      </c>
      <c r="I41" s="5">
        <f>$H$28*((N11*($C$30+1))/(N11+$C$30*(1-$C$31+$C$31*(D11/$G$5))))</f>
        <v>0.77006169319529805</v>
      </c>
      <c r="J41" s="5">
        <f>$H$29*((N12*($C$30+1))/(N12+$C$30*(1-$C$31+$C$31*(D12/$G$5))))</f>
        <v>0</v>
      </c>
      <c r="L41" s="3" t="s">
        <v>15</v>
      </c>
      <c r="M41" s="5">
        <f t="shared" si="4"/>
        <v>0.77006169319529805</v>
      </c>
    </row>
    <row r="42" spans="6:13" x14ac:dyDescent="0.3">
      <c r="G42" s="3" t="s">
        <v>17</v>
      </c>
      <c r="H42" s="5">
        <f>$H$27*((O10*($C$30+1))/(O10+$C$30*(1-$C$31+$C$31*(D13/$G$5))))</f>
        <v>0.52981175541676984</v>
      </c>
      <c r="I42" s="5">
        <f>$H$28*((O11*($C$30+1))/(O11+$C$30*(1-$C$31+$C$31*(D13/$G$5))))</f>
        <v>0.77006169319529805</v>
      </c>
      <c r="J42" s="5">
        <f>$H$29*((O12*($C$30+1))/(O12+$C$30*(1-$C$31+$C$31*(D13/$G$5))))</f>
        <v>0</v>
      </c>
      <c r="L42" s="3" t="s">
        <v>17</v>
      </c>
      <c r="M42" s="5">
        <f t="shared" si="4"/>
        <v>1.2998734486120678</v>
      </c>
    </row>
    <row r="43" spans="6:13" x14ac:dyDescent="0.3">
      <c r="G43" s="3" t="s">
        <v>19</v>
      </c>
      <c r="H43" s="5">
        <f>$H$27*((P10*($C$30+1))/(P10+$C$30*(1-$C$31+$C$31*(D14/$G$5))))</f>
        <v>0</v>
      </c>
      <c r="I43" s="5">
        <f>$H$28*((P11*($C$30+1))/(P11+$C$30*(1-$C$31+$C$31*(D14/$G$5))))</f>
        <v>0</v>
      </c>
      <c r="J43" s="5">
        <f>$H$29*((P12*($C$30+1))/(P12+$C$30*(1-$C$31+$C$31*(D14/$G$5))))</f>
        <v>0.77006169319529805</v>
      </c>
      <c r="L43" s="3" t="s">
        <v>19</v>
      </c>
      <c r="M43" s="5">
        <f t="shared" si="4"/>
        <v>0.77006169319529805</v>
      </c>
    </row>
    <row r="44" spans="6:13" x14ac:dyDescent="0.3">
      <c r="G44" s="3" t="s">
        <v>21</v>
      </c>
      <c r="H44" s="5">
        <f>$H$27*((Q10*($C$30+1))/(Q10+$C$30*(1-$C$31+$C$31*(D15/$G$5))))</f>
        <v>0</v>
      </c>
      <c r="I44" s="5">
        <f>$H$28*((Q11*($C$30+1))/(Q11+$C$30*(1-$C$31+$C$31*(D15/$G$5))))</f>
        <v>0.70132891396794916</v>
      </c>
      <c r="J44" s="5">
        <f>$H$29*((Q12*($C$30+1))/(Q12+$C$30*(1-$C$31+$C$31*(D15/$G$5))))</f>
        <v>0</v>
      </c>
      <c r="L44" s="3" t="s">
        <v>21</v>
      </c>
      <c r="M44" s="5">
        <f t="shared" si="4"/>
        <v>0.70132891396794916</v>
      </c>
    </row>
    <row r="45" spans="6:13" x14ac:dyDescent="0.3">
      <c r="G45" s="3" t="s">
        <v>23</v>
      </c>
      <c r="H45" s="5">
        <f>$H$27*((R10*($C$30+1))/(R10+$C$30*(1-$C$31+$C$31*(D16/$G$5))))</f>
        <v>0.50506276338173051</v>
      </c>
      <c r="I45" s="5">
        <f>$H$28*((R11*($C$30+1))/(R11+$C$30*(1-$C$31+$C$31*(D16/$G$5))))</f>
        <v>0</v>
      </c>
      <c r="J45" s="5">
        <f>$H$29*((R12*($C$30+1))/(R12+$C$30*(1-$C$31+$C$31*(D16/$G$5))))</f>
        <v>0.73408995320174608</v>
      </c>
      <c r="L45" s="3" t="s">
        <v>23</v>
      </c>
      <c r="M45" s="5">
        <f t="shared" si="4"/>
        <v>1.2391527165834766</v>
      </c>
    </row>
    <row r="46" spans="6:13" x14ac:dyDescent="0.3">
      <c r="G46" s="3" t="s">
        <v>25</v>
      </c>
      <c r="H46" s="5">
        <f>$H$27*((S10*($C$30+1))/(S10+$C$30*(1-$C$31+$C$31*(D17/$G$5))))</f>
        <v>0.50506276338173051</v>
      </c>
      <c r="I46" s="5">
        <f>$H$28*((S11*($C$30+1))/(S11+$C$30*(1-$C$31+$C$31*(D17/$G$5))))</f>
        <v>0.73408995320174608</v>
      </c>
      <c r="J46" s="5">
        <f>$H$29*((S12*($C$30+1))/(S12+$C$30*(1-$C$31+$C$31*(D17/$G$5))))</f>
        <v>0</v>
      </c>
      <c r="L46" s="3" t="s">
        <v>25</v>
      </c>
      <c r="M46" s="5">
        <f t="shared" si="4"/>
        <v>1.2391527165834766</v>
      </c>
    </row>
    <row r="47" spans="6:13" x14ac:dyDescent="0.3">
      <c r="G47" s="3" t="s">
        <v>27</v>
      </c>
      <c r="H47" s="5">
        <f>$H$27*((T10*($C$30+1))/(T10+$C$30*(1-$C$31+$C$31*(D18/$G$5))))</f>
        <v>0</v>
      </c>
      <c r="I47" s="5">
        <f>$H$28*((T11*($C$30+1))/(T11+$C$30*(1-$C$31+$C$31*(D18/$G$5))))</f>
        <v>0</v>
      </c>
      <c r="J47" s="5">
        <f>$H$29*((T12*($C$30+1))/(T12+$C$30*(1-$C$31+$C$31*(D18/$G$5))))</f>
        <v>0.77006169319529805</v>
      </c>
      <c r="L47" s="3" t="s">
        <v>27</v>
      </c>
      <c r="M47" s="5">
        <f t="shared" si="4"/>
        <v>0.77006169319529805</v>
      </c>
    </row>
    <row r="48" spans="6:13" x14ac:dyDescent="0.3">
      <c r="G48" s="3" t="s">
        <v>29</v>
      </c>
      <c r="H48" s="5">
        <f>$H$27*((U10*($C$30+1))/(U10+$C$30*(1-$C$31+$C$31*(D19/$G$5))))</f>
        <v>0.52981175541676984</v>
      </c>
      <c r="I48" s="5">
        <f>$H$28*((U11*($C$30+1))/(U11+$C$30*(1-$C$31+$C$31*(D19/$G$5))))</f>
        <v>0</v>
      </c>
      <c r="J48" s="5">
        <f>$H$29*((U12*($C$30+1))/(U12+$C$30*(1-$C$31+$C$31*(D19/$G$5))))</f>
        <v>0</v>
      </c>
      <c r="L48" s="3" t="s">
        <v>29</v>
      </c>
      <c r="M48" s="5">
        <f t="shared" si="4"/>
        <v>0.52981175541676984</v>
      </c>
    </row>
    <row r="49" spans="6:13" x14ac:dyDescent="0.3">
      <c r="G49" s="3" t="s">
        <v>31</v>
      </c>
      <c r="H49" s="5">
        <f>$H$27*((V10*($C$30+1))/(V10+$C$30*(1-$C$31+$C$31*(D20/$G$5))))</f>
        <v>0</v>
      </c>
      <c r="I49" s="5">
        <f>$H$28*((V11*($C$30+1))/(V11+$C$30*(1-$C$31+$C$31*(D20/$G$5))))</f>
        <v>0.77006169319529805</v>
      </c>
      <c r="J49" s="5">
        <f>$H$29*((V12*($C$30+1))/(V12+$C$30*(1-$C$31+$C$31*(D20/$G$5))))</f>
        <v>0.77006169319529805</v>
      </c>
      <c r="L49" s="3" t="s">
        <v>31</v>
      </c>
      <c r="M49" s="5">
        <f t="shared" si="4"/>
        <v>1.5401233863905961</v>
      </c>
    </row>
    <row r="54" spans="6:13" ht="17.399999999999999" x14ac:dyDescent="0.45">
      <c r="F54" s="6" t="s">
        <v>72</v>
      </c>
      <c r="G54" s="4" t="s">
        <v>71</v>
      </c>
    </row>
    <row r="55" spans="6:13" x14ac:dyDescent="0.3">
      <c r="G55" s="1" t="s">
        <v>1</v>
      </c>
      <c r="H55" s="15" t="s">
        <v>69</v>
      </c>
      <c r="I55" s="1" t="s">
        <v>71</v>
      </c>
    </row>
    <row r="56" spans="6:13" x14ac:dyDescent="0.3">
      <c r="G56" s="3" t="s">
        <v>3</v>
      </c>
      <c r="H56" s="5">
        <f>M35</f>
        <v>1.9732426697852228</v>
      </c>
      <c r="I56" s="5">
        <v>1</v>
      </c>
    </row>
    <row r="57" spans="6:13" x14ac:dyDescent="0.3">
      <c r="G57" s="3" t="s">
        <v>31</v>
      </c>
      <c r="H57" s="5">
        <f>M49</f>
        <v>1.5401233863905961</v>
      </c>
      <c r="I57" s="5">
        <v>2</v>
      </c>
    </row>
    <row r="58" spans="6:13" x14ac:dyDescent="0.3">
      <c r="G58" s="3" t="s">
        <v>9</v>
      </c>
      <c r="H58" s="5">
        <f>M38</f>
        <v>1.2998734486120678</v>
      </c>
      <c r="I58" s="5">
        <v>3</v>
      </c>
    </row>
    <row r="59" spans="6:13" x14ac:dyDescent="0.3">
      <c r="G59" s="3" t="s">
        <v>13</v>
      </c>
      <c r="H59" s="5">
        <f>M40</f>
        <v>1.2998734486120678</v>
      </c>
      <c r="I59" s="5">
        <v>4</v>
      </c>
    </row>
    <row r="60" spans="6:13" x14ac:dyDescent="0.3">
      <c r="G60" s="3" t="s">
        <v>17</v>
      </c>
      <c r="H60" s="5">
        <f>M42</f>
        <v>1.2998734486120678</v>
      </c>
      <c r="I60" s="5">
        <v>5</v>
      </c>
    </row>
    <row r="61" spans="6:13" x14ac:dyDescent="0.3">
      <c r="G61" s="3" t="s">
        <v>23</v>
      </c>
      <c r="H61" s="5">
        <f>M45</f>
        <v>1.2391527165834766</v>
      </c>
      <c r="I61" s="5">
        <v>6</v>
      </c>
    </row>
    <row r="62" spans="6:13" x14ac:dyDescent="0.3">
      <c r="G62" s="3" t="s">
        <v>25</v>
      </c>
      <c r="H62" s="5">
        <f>M46</f>
        <v>1.2391527165834766</v>
      </c>
      <c r="I62" s="5">
        <v>7</v>
      </c>
    </row>
    <row r="63" spans="6:13" x14ac:dyDescent="0.3">
      <c r="G63" s="3" t="s">
        <v>5</v>
      </c>
      <c r="H63" s="5">
        <f>M36</f>
        <v>0.77006169319529805</v>
      </c>
      <c r="I63" s="5">
        <v>8</v>
      </c>
    </row>
    <row r="64" spans="6:13" x14ac:dyDescent="0.3">
      <c r="G64" s="3" t="s">
        <v>15</v>
      </c>
      <c r="H64" s="5">
        <f>M41</f>
        <v>0.77006169319529805</v>
      </c>
      <c r="I64" s="5">
        <v>9</v>
      </c>
    </row>
    <row r="65" spans="7:9" x14ac:dyDescent="0.3">
      <c r="G65" s="3" t="s">
        <v>19</v>
      </c>
      <c r="H65" s="5">
        <f>M43</f>
        <v>0.77006169319529805</v>
      </c>
      <c r="I65" s="5">
        <v>10</v>
      </c>
    </row>
    <row r="66" spans="7:9" x14ac:dyDescent="0.3">
      <c r="G66" s="3" t="s">
        <v>27</v>
      </c>
      <c r="H66" s="5">
        <f>M47</f>
        <v>0.77006169319529805</v>
      </c>
      <c r="I66" s="5">
        <v>11</v>
      </c>
    </row>
    <row r="67" spans="7:9" x14ac:dyDescent="0.3">
      <c r="G67" s="3" t="s">
        <v>21</v>
      </c>
      <c r="H67" s="5">
        <f>M44</f>
        <v>0.70132891396794916</v>
      </c>
      <c r="I67" s="5">
        <v>12</v>
      </c>
    </row>
    <row r="68" spans="7:9" x14ac:dyDescent="0.3">
      <c r="G68" s="3" t="s">
        <v>7</v>
      </c>
      <c r="H68" s="5">
        <f>M37</f>
        <v>0.52981175541676984</v>
      </c>
      <c r="I68" s="5">
        <v>13</v>
      </c>
    </row>
    <row r="69" spans="7:9" x14ac:dyDescent="0.3">
      <c r="G69" s="3" t="s">
        <v>11</v>
      </c>
      <c r="H69" s="5">
        <f>M39</f>
        <v>0.52981175541676984</v>
      </c>
      <c r="I69" s="5">
        <v>14</v>
      </c>
    </row>
    <row r="70" spans="7:9" x14ac:dyDescent="0.3">
      <c r="G70" s="3" t="s">
        <v>29</v>
      </c>
      <c r="H70" s="5">
        <f>M48</f>
        <v>0.52981175541676984</v>
      </c>
      <c r="I70" s="5">
        <v>15</v>
      </c>
    </row>
  </sheetData>
  <sortState xmlns:xlrd2="http://schemas.microsoft.com/office/spreadsheetml/2017/richdata2" ref="G56:I70">
    <sortCondition descending="1" ref="H56:H70"/>
  </sortState>
  <mergeCells count="1">
    <mergeCell ref="B4:D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Pengolahan Dokumen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yosibriyan1@gmail.com</dc:creator>
  <cp:lastModifiedBy>yosibriyan1@gmail.com</cp:lastModifiedBy>
  <dcterms:created xsi:type="dcterms:W3CDTF">2026-05-17T18:14:58Z</dcterms:created>
  <dcterms:modified xsi:type="dcterms:W3CDTF">2026-05-18T09:01:24Z</dcterms:modified>
</cp:coreProperties>
</file>